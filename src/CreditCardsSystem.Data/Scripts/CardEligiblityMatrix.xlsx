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431\Desktop\"/>
    </mc:Choice>
  </mc:AlternateContent>
  <xr:revisionPtr revIDLastSave="0" documentId="13_ncr:1_{57B28B86-3A5D-4738-89C4-45F18A6AD58E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EligiblityCards" sheetId="1" r:id="rId1"/>
    <sheet name="SQL" sheetId="2" r:id="rId2"/>
  </sheets>
  <definedNames>
    <definedName name="_xlnm._FilterDatabase" localSheetId="0" hidden="1">EligiblityCards!$A$1:$Q$48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2" i="1"/>
</calcChain>
</file>

<file path=xl/sharedStrings.xml><?xml version="1.0" encoding="utf-8"?>
<sst xmlns="http://schemas.openxmlformats.org/spreadsheetml/2006/main" count="253" uniqueCount="95">
  <si>
    <t>NAME</t>
  </si>
  <si>
    <t>DUALITY</t>
  </si>
  <si>
    <t>MIN_LIMIT</t>
  </si>
  <si>
    <t>MAX_LIMIT</t>
  </si>
  <si>
    <t>KFH Visa Corporate Platinum Charge Card</t>
  </si>
  <si>
    <t>1000</t>
  </si>
  <si>
    <t>2990</t>
  </si>
  <si>
    <t>VISA Co-brand</t>
  </si>
  <si>
    <t>1500</t>
  </si>
  <si>
    <t>20000</t>
  </si>
  <si>
    <t>Metal QR Star</t>
  </si>
  <si>
    <t>10000</t>
  </si>
  <si>
    <t>30000</t>
  </si>
  <si>
    <t>Metal QR Artisan silver</t>
  </si>
  <si>
    <t>KFH Visa Corporate Signature Charge Card</t>
  </si>
  <si>
    <t>3000</t>
  </si>
  <si>
    <t>MC KAC UPPER Premium</t>
  </si>
  <si>
    <t>2500</t>
  </si>
  <si>
    <t>TRY Prepaid</t>
  </si>
  <si>
    <t>0</t>
  </si>
  <si>
    <t>MasterCard KAC World</t>
  </si>
  <si>
    <t>USD Prepaid</t>
  </si>
  <si>
    <t>GBP Prepaid</t>
  </si>
  <si>
    <t>EUR Prepaid</t>
  </si>
  <si>
    <t>AED Prepaid</t>
  </si>
  <si>
    <t>SAR Prepaid</t>
  </si>
  <si>
    <t>MasterCard Al Khair</t>
  </si>
  <si>
    <t>CO-BRAND PRE-PAID CARD - Ooredoo</t>
  </si>
  <si>
    <t>7esabi MasterCard</t>
  </si>
  <si>
    <t>Co-Brand Pre-Paid Card -   KAC</t>
  </si>
  <si>
    <t>TAYSEER T3 GOLD</t>
  </si>
  <si>
    <t>750</t>
  </si>
  <si>
    <t>1200</t>
  </si>
  <si>
    <t>Visa Classic</t>
  </si>
  <si>
    <t>250</t>
  </si>
  <si>
    <t>1499</t>
  </si>
  <si>
    <t>TAYSEER T3 CLASSIC</t>
  </si>
  <si>
    <t>300</t>
  </si>
  <si>
    <t>700</t>
  </si>
  <si>
    <t>Visa Platinum</t>
  </si>
  <si>
    <t>Visa Internet</t>
  </si>
  <si>
    <t>50</t>
  </si>
  <si>
    <t>200</t>
  </si>
  <si>
    <t>Visa Gold</t>
  </si>
  <si>
    <t>2999</t>
  </si>
  <si>
    <t>MasterCard Gold</t>
  </si>
  <si>
    <t>MasterCard Classic</t>
  </si>
  <si>
    <t>MasterCard Platinum</t>
  </si>
  <si>
    <t>TAYSEER T12 PLATINUM STANDARD</t>
  </si>
  <si>
    <t>850</t>
  </si>
  <si>
    <t>TAYSEER T12 PLATINUM PREMIUM</t>
  </si>
  <si>
    <t>1250</t>
  </si>
  <si>
    <t>2400</t>
  </si>
  <si>
    <t>TAYSEER T12 CLASSIC</t>
  </si>
  <si>
    <t>500</t>
  </si>
  <si>
    <t>TAYSEER T12 GOLD</t>
  </si>
  <si>
    <t>550</t>
  </si>
  <si>
    <t>800</t>
  </si>
  <si>
    <t>TAYSEER T12 PLATINUM STANDARD (Temp)</t>
  </si>
  <si>
    <t>TAYSEER T12 PLATINUM PREMIUM (Temp)</t>
  </si>
  <si>
    <t>7esabi</t>
  </si>
  <si>
    <t>MasterCard Gold(3000-30000)</t>
  </si>
  <si>
    <t>Al-Khair</t>
  </si>
  <si>
    <t>Visa Charge Diamond</t>
  </si>
  <si>
    <t>5000</t>
  </si>
  <si>
    <t>Al-Ousra Primary</t>
  </si>
  <si>
    <t>Al-Ousra Supplementary</t>
  </si>
  <si>
    <t>VISA TAYSEER DIAMOND</t>
  </si>
  <si>
    <t>USD Master Card Platinum</t>
  </si>
  <si>
    <t>VISA CLASSIC - DDA (TEMP)</t>
  </si>
  <si>
    <t>MASTER CLASSIC - DDA (TEMP)</t>
  </si>
  <si>
    <t>VISA SIGNATURE</t>
  </si>
  <si>
    <t>Sama World Prepaid Card</t>
  </si>
  <si>
    <t>World Elite MasterCard Card</t>
  </si>
  <si>
    <t>Visa Platinum Select</t>
  </si>
  <si>
    <t>400</t>
  </si>
  <si>
    <t>Metal QR Mosaic</t>
  </si>
  <si>
    <t>SELECT /*+ no_parallel("CARD_DEF") */  ROWID "ROWID", ORA_ROWSCN "ORA_ROWSCN", CARD_TYPE CARD_TYPE, NAME NAME, BIN_NO BIN_NO, SYSTEM_NO SYSTEM_NO, DUALITY DUALITY, MERCHANT_ACCT MERCHANT_ACCT, MIN_LIMIT MIN_LIMIT, MAX_LIMIT MAX_LIMIT, FEES FEES, MONTHLY_MAX_DUE MONTHLY_MAX_DUE, INSTALLMENTS INSTALLMENTS, ISLOCKED ISLOCKED FROM "FDR"."CARD_DEF"</t>
  </si>
  <si>
    <t>CardType</t>
  </si>
  <si>
    <t>Prepaid</t>
  </si>
  <si>
    <t>Tayseer</t>
  </si>
  <si>
    <t>Charge</t>
  </si>
  <si>
    <t>RimType</t>
  </si>
  <si>
    <t>CARD_ID</t>
  </si>
  <si>
    <t>Allow Supplementary</t>
  </si>
  <si>
    <t>Cinet</t>
  </si>
  <si>
    <t>IsCobrand</t>
  </si>
  <si>
    <t>IsCorporate</t>
  </si>
  <si>
    <t>HasPromosion</t>
  </si>
  <si>
    <t>AllowedBranches</t>
  </si>
  <si>
    <t>Status</t>
  </si>
  <si>
    <t>Priorioty</t>
  </si>
  <si>
    <t>Currency</t>
  </si>
  <si>
    <t>Null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</si>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</sst>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C393F-F547-4EE0-A581-A6E05BB31CA2}" name="Table1" displayName="Table1" ref="A1:Q48" totalsRowShown="0">
  <autoFilter ref="A1:Q48" xr:uid="{00000000-0001-0000-0000-000000000000}"/>
  <tableColumns count="17">
    <tableColumn id="1" xr3:uid="{49846DBB-2266-4F62-B99F-F0624BE8C324}" name="RimType"/>
    <tableColumn id="2" xr3:uid="{7BF5D67E-599A-4FFE-A21D-83D698B46D7C}" name="Currency"/>
    <tableColumn id="3" xr3:uid="{6CFBB2C8-C2C5-4F0F-9DB6-4095928C76DC}" name="CardType"/>
    <tableColumn id="4" xr3:uid="{3EA1254C-1CCC-445E-AB69-AEAF49237A0D}" name="CARD_ID" dataDxfId="1"/>
    <tableColumn id="5" xr3:uid="{0239227E-CF77-414A-8953-E98ACDABE580}" name="NAME"/>
    <tableColumn id="6" xr3:uid="{B3F1DEEE-D6E4-4673-A0F4-EE610159E592}" name="DUALITY" dataDxfId="0"/>
    <tableColumn id="7" xr3:uid="{9BFC73CF-FCB3-46EA-A75D-0182709A24E1}" name="MIN_LIMIT"/>
    <tableColumn id="8" xr3:uid="{D93402AA-BFB7-416A-B251-4A7DD213BE61}" name="MAX_LIMIT"/>
    <tableColumn id="9" xr3:uid="{447D79A8-F67D-4F99-864F-3F8619C02CEA}" name="Allow Supplementary"/>
    <tableColumn id="10" xr3:uid="{7398012A-3E0A-4499-AB89-1A2C79F56F66}" name="Cinet"/>
    <tableColumn id="11" xr3:uid="{54F048D6-7880-4A9F-9763-90BEEDF672E6}" name="IsCobrand"/>
    <tableColumn id="12" xr3:uid="{6AB3A269-E793-4581-A080-AAA417231EF2}" name="IsCorporate"/>
    <tableColumn id="13" xr3:uid="{FBD8E28A-3C2C-4CC7-925D-F6ADB9556761}" name="HasPromosion"/>
    <tableColumn id="14" xr3:uid="{20A6F4F1-76B3-49A6-A637-AE452BA106A7}" name="AllowedBranches"/>
    <tableColumn id="15" xr3:uid="{0C19A0D9-322E-49AF-9700-E01AD4E47E10}" name="Status"/>
    <tableColumn id="16" xr3:uid="{D13DD4FB-3C7C-4035-AED1-9AE2A858E6AD}" name="Priorioty"/>
    <tableColumn id="17" xr3:uid="{0FE805F1-2362-4452-A7A1-C9AD3E896C8B}" name="Column1">
      <calculatedColumnFormula>_xlfn.CONCAT(" ('",A2,"','",B2,"','",C2,"','",D2,"','",E2,"',",I2,",",J2,",",K2,",'",L2,"','",M2,"',",N2,",",O2,",",P2,")",",",)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topLeftCell="B1" workbookViewId="0">
      <pane ySplit="1" topLeftCell="A2" activePane="bottomLeft" state="frozen"/>
      <selection pane="bottomLeft" activeCell="L18" sqref="L18"/>
    </sheetView>
  </sheetViews>
  <sheetFormatPr defaultRowHeight="15"/>
  <cols>
    <col min="1" max="1" width="10.85546875" customWidth="1"/>
    <col min="2" max="2" width="11" customWidth="1"/>
    <col min="3" max="3" width="11.5703125" bestFit="1" customWidth="1"/>
    <col min="4" max="4" width="11" bestFit="1" customWidth="1"/>
    <col min="5" max="5" width="39.5703125" bestFit="1" customWidth="1"/>
    <col min="6" max="6" width="10.5703125" hidden="1" customWidth="1"/>
    <col min="7" max="7" width="12.7109375" hidden="1" customWidth="1"/>
    <col min="8" max="8" width="13.140625" hidden="1" customWidth="1"/>
    <col min="9" max="9" width="22.7109375" bestFit="1" customWidth="1"/>
    <col min="10" max="10" width="8" bestFit="1" customWidth="1"/>
    <col min="11" max="11" width="12.140625" bestFit="1" customWidth="1"/>
    <col min="12" max="12" width="13.5703125" bestFit="1" customWidth="1"/>
    <col min="13" max="13" width="16.140625" bestFit="1" customWidth="1"/>
    <col min="14" max="14" width="18.85546875" bestFit="1" customWidth="1"/>
    <col min="16" max="16" width="10.85546875" customWidth="1"/>
    <col min="17" max="17" width="84.140625" hidden="1" customWidth="1"/>
  </cols>
  <sheetData>
    <row r="1" spans="1:17">
      <c r="A1" t="s">
        <v>82</v>
      </c>
      <c r="B1" t="s">
        <v>92</v>
      </c>
      <c r="C1" t="s">
        <v>78</v>
      </c>
      <c r="D1" t="s">
        <v>83</v>
      </c>
      <c r="E1" t="s">
        <v>0</v>
      </c>
      <c r="F1" t="s">
        <v>1</v>
      </c>
      <c r="G1" t="s">
        <v>2</v>
      </c>
      <c r="H1" t="s">
        <v>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94</v>
      </c>
    </row>
    <row r="2" spans="1:17">
      <c r="A2" t="s">
        <v>93</v>
      </c>
      <c r="B2">
        <v>414</v>
      </c>
      <c r="C2" t="s">
        <v>81</v>
      </c>
      <c r="D2" s="1">
        <v>41</v>
      </c>
      <c r="E2" t="s">
        <v>4</v>
      </c>
      <c r="F2" s="1">
        <v>1</v>
      </c>
      <c r="G2" t="s">
        <v>5</v>
      </c>
      <c r="H2" t="s">
        <v>6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 t="str">
        <f>_xlfn.CONCAT(" ('",A2,"','",B2,"','",C2,"','",D2,"','",E2,"',",I2,",",J2,",",K2,",'",L2,"','",M2,"',",N2,",",O2,",",P2,")",",",)</f>
        <v xml:space="preserve"> ('Null','414','Charge','41','KFH Visa Corporate Platinum Charge Card',1,0,0,'0','0',0,1,1),</v>
      </c>
    </row>
    <row r="3" spans="1:17">
      <c r="A3" t="s">
        <v>93</v>
      </c>
      <c r="B3">
        <v>414</v>
      </c>
      <c r="C3" t="s">
        <v>81</v>
      </c>
      <c r="D3" s="1">
        <v>48</v>
      </c>
      <c r="E3" t="s">
        <v>7</v>
      </c>
      <c r="F3" s="1">
        <v>1</v>
      </c>
      <c r="G3" t="s">
        <v>8</v>
      </c>
      <c r="H3" t="s">
        <v>9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2</v>
      </c>
      <c r="Q3" t="str">
        <f t="shared" ref="Q3:Q48" si="0">_xlfn.CONCAT(" ('",A3,"','",B3,"','",C3,"','",D3,"','",E3,"',",I3,",",J3,",",K3,",'",L3,"','",M3,"',",N3,",",O3,",",P3,")",",",)</f>
        <v xml:space="preserve"> ('Null','414','Charge','48','VISA Co-brand',1,0,1,'0','0',0,1,2),</v>
      </c>
    </row>
    <row r="4" spans="1:17">
      <c r="A4" t="s">
        <v>93</v>
      </c>
      <c r="B4">
        <v>414</v>
      </c>
      <c r="C4" t="s">
        <v>81</v>
      </c>
      <c r="D4" s="1">
        <v>39</v>
      </c>
      <c r="E4" t="s">
        <v>10</v>
      </c>
      <c r="F4" s="1">
        <v>1</v>
      </c>
      <c r="G4" t="s">
        <v>11</v>
      </c>
      <c r="H4" t="s">
        <v>12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3</v>
      </c>
      <c r="Q4" t="str">
        <f t="shared" si="0"/>
        <v xml:space="preserve"> ('Null','414','Charge','39','Metal QR Star',1,0,0,'0','0',0,1,3),</v>
      </c>
    </row>
    <row r="5" spans="1:17">
      <c r="A5" t="s">
        <v>93</v>
      </c>
      <c r="B5">
        <v>414</v>
      </c>
      <c r="C5" t="s">
        <v>81</v>
      </c>
      <c r="D5" s="1">
        <v>40</v>
      </c>
      <c r="E5" t="s">
        <v>13</v>
      </c>
      <c r="F5" s="1">
        <v>1</v>
      </c>
      <c r="G5" t="s">
        <v>11</v>
      </c>
      <c r="H5" t="s">
        <v>12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4</v>
      </c>
      <c r="Q5" t="str">
        <f t="shared" si="0"/>
        <v xml:space="preserve"> ('Null','414','Charge','40','Metal QR Artisan silver',1,0,0,'0','0',0,1,4),</v>
      </c>
    </row>
    <row r="6" spans="1:17">
      <c r="A6" t="s">
        <v>93</v>
      </c>
      <c r="B6">
        <v>414</v>
      </c>
      <c r="C6" t="s">
        <v>81</v>
      </c>
      <c r="D6" s="1">
        <v>42</v>
      </c>
      <c r="E6" t="s">
        <v>14</v>
      </c>
      <c r="F6" s="1">
        <v>1</v>
      </c>
      <c r="G6" t="s">
        <v>15</v>
      </c>
      <c r="H6" t="s">
        <v>9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5</v>
      </c>
      <c r="Q6" t="str">
        <f t="shared" si="0"/>
        <v xml:space="preserve"> ('Null','414','Charge','42','KFH Visa Corporate Signature Charge Card',1,0,0,'0','0',0,1,5),</v>
      </c>
    </row>
    <row r="7" spans="1:17">
      <c r="A7" t="s">
        <v>93</v>
      </c>
      <c r="B7">
        <v>414</v>
      </c>
      <c r="C7" t="s">
        <v>81</v>
      </c>
      <c r="D7" s="1">
        <v>49</v>
      </c>
      <c r="E7" t="s">
        <v>16</v>
      </c>
      <c r="F7" s="1">
        <v>1</v>
      </c>
      <c r="G7" t="s">
        <v>17</v>
      </c>
      <c r="H7" t="s">
        <v>12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6</v>
      </c>
      <c r="Q7" t="str">
        <f t="shared" si="0"/>
        <v xml:space="preserve"> ('Null','414','Charge','49','MC KAC UPPER Premium',1,0,0,'0','0',0,1,6),</v>
      </c>
    </row>
    <row r="8" spans="1:17">
      <c r="A8" t="s">
        <v>93</v>
      </c>
      <c r="B8">
        <v>949</v>
      </c>
      <c r="C8" t="s">
        <v>79</v>
      </c>
      <c r="D8" s="1">
        <v>51</v>
      </c>
      <c r="E8" t="s">
        <v>18</v>
      </c>
      <c r="F8" s="1">
        <v>1</v>
      </c>
      <c r="G8" t="s">
        <v>19</v>
      </c>
      <c r="H8" t="s">
        <v>19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7</v>
      </c>
      <c r="Q8" t="str">
        <f t="shared" si="0"/>
        <v xml:space="preserve"> ('Null','949','Prepaid','51','TRY Prepaid',0,0,0,'0','0',0,1,7),</v>
      </c>
    </row>
    <row r="9" spans="1:17">
      <c r="A9" t="s">
        <v>93</v>
      </c>
      <c r="B9">
        <v>414</v>
      </c>
      <c r="C9" t="s">
        <v>81</v>
      </c>
      <c r="D9" s="1">
        <v>50</v>
      </c>
      <c r="E9" t="s">
        <v>20</v>
      </c>
      <c r="F9" s="1">
        <v>1</v>
      </c>
      <c r="G9" t="s">
        <v>8</v>
      </c>
      <c r="H9" t="s">
        <v>9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9</v>
      </c>
      <c r="Q9" t="str">
        <f t="shared" si="0"/>
        <v xml:space="preserve"> ('Null','414','Charge','50','MasterCard KAC World',1,0,0,'0','0',0,1,9),</v>
      </c>
    </row>
    <row r="10" spans="1:17">
      <c r="A10" t="s">
        <v>93</v>
      </c>
      <c r="B10">
        <v>840</v>
      </c>
      <c r="C10" t="s">
        <v>79</v>
      </c>
      <c r="D10" s="1">
        <v>43</v>
      </c>
      <c r="E10" t="s">
        <v>21</v>
      </c>
      <c r="F10" s="1">
        <v>1</v>
      </c>
      <c r="G10" t="s">
        <v>19</v>
      </c>
      <c r="H10" t="s">
        <v>19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10</v>
      </c>
      <c r="Q10" t="str">
        <f t="shared" si="0"/>
        <v xml:space="preserve"> ('Null','840','Prepaid','43','USD Prepaid',0,0,0,'0','0',0,1,10),</v>
      </c>
    </row>
    <row r="11" spans="1:17">
      <c r="A11" t="s">
        <v>93</v>
      </c>
      <c r="B11">
        <v>826</v>
      </c>
      <c r="C11" t="s">
        <v>79</v>
      </c>
      <c r="D11" s="1">
        <v>44</v>
      </c>
      <c r="E11" t="s">
        <v>22</v>
      </c>
      <c r="F11" s="1">
        <v>1</v>
      </c>
      <c r="G11" t="s">
        <v>19</v>
      </c>
      <c r="H11" t="s">
        <v>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11</v>
      </c>
      <c r="Q11" t="str">
        <f t="shared" si="0"/>
        <v xml:space="preserve"> ('Null','826','Prepaid','44','GBP Prepaid',0,0,0,'0','0',0,1,11),</v>
      </c>
    </row>
    <row r="12" spans="1:17">
      <c r="A12" t="s">
        <v>93</v>
      </c>
      <c r="B12">
        <v>978</v>
      </c>
      <c r="C12" t="s">
        <v>79</v>
      </c>
      <c r="D12" s="1">
        <v>45</v>
      </c>
      <c r="E12" t="s">
        <v>23</v>
      </c>
      <c r="F12" s="1">
        <v>1</v>
      </c>
      <c r="G12" t="s">
        <v>19</v>
      </c>
      <c r="H12" t="s">
        <v>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12</v>
      </c>
      <c r="Q12" t="str">
        <f t="shared" si="0"/>
        <v xml:space="preserve"> ('Null','978','Prepaid','45','EUR Prepaid',0,0,0,'0','0',0,1,12),</v>
      </c>
    </row>
    <row r="13" spans="1:17">
      <c r="A13" t="s">
        <v>93</v>
      </c>
      <c r="B13">
        <v>784</v>
      </c>
      <c r="C13" t="s">
        <v>79</v>
      </c>
      <c r="D13" s="1">
        <v>46</v>
      </c>
      <c r="E13" t="s">
        <v>24</v>
      </c>
      <c r="F13" s="1">
        <v>1</v>
      </c>
      <c r="G13" t="s">
        <v>19</v>
      </c>
      <c r="H13" t="s">
        <v>19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13</v>
      </c>
      <c r="Q13" t="str">
        <f t="shared" si="0"/>
        <v xml:space="preserve"> ('Null','784','Prepaid','46','AED Prepaid',0,0,0,'0','0',0,1,13),</v>
      </c>
    </row>
    <row r="14" spans="1:17">
      <c r="A14" t="s">
        <v>93</v>
      </c>
      <c r="B14">
        <v>682</v>
      </c>
      <c r="C14" t="s">
        <v>79</v>
      </c>
      <c r="D14" s="1">
        <v>47</v>
      </c>
      <c r="E14" t="s">
        <v>25</v>
      </c>
      <c r="F14" s="1">
        <v>1</v>
      </c>
      <c r="G14" t="s">
        <v>19</v>
      </c>
      <c r="H14" t="s">
        <v>19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14</v>
      </c>
      <c r="Q14" t="str">
        <f t="shared" si="0"/>
        <v xml:space="preserve"> ('Null','682','Prepaid','47','SAR Prepaid',0,0,0,'0','0',0,1,14),</v>
      </c>
    </row>
    <row r="15" spans="1:17">
      <c r="A15" t="s">
        <v>93</v>
      </c>
      <c r="B15">
        <v>414</v>
      </c>
      <c r="C15" t="s">
        <v>79</v>
      </c>
      <c r="D15" s="1">
        <v>27</v>
      </c>
      <c r="E15" t="s">
        <v>26</v>
      </c>
      <c r="F15" s="1">
        <v>1</v>
      </c>
      <c r="G15" t="s">
        <v>19</v>
      </c>
      <c r="H15" t="s">
        <v>19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15</v>
      </c>
      <c r="Q15" t="str">
        <f t="shared" si="0"/>
        <v xml:space="preserve"> ('Null','414','Prepaid','27','MasterCard Al Khair',0,0,0,'0','0',0,1,15),</v>
      </c>
    </row>
    <row r="16" spans="1:17">
      <c r="A16" t="s">
        <v>93</v>
      </c>
      <c r="B16">
        <v>414</v>
      </c>
      <c r="C16" t="s">
        <v>79</v>
      </c>
      <c r="D16" s="1">
        <v>29</v>
      </c>
      <c r="E16" t="s">
        <v>27</v>
      </c>
      <c r="F16" s="1">
        <v>4</v>
      </c>
      <c r="G16" t="s">
        <v>19</v>
      </c>
      <c r="H16" t="s">
        <v>19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16</v>
      </c>
      <c r="Q16" t="str">
        <f t="shared" si="0"/>
        <v xml:space="preserve"> ('Null','414','Prepaid','29','CO-BRAND PRE-PAID CARD - Ooredoo',0,0,1,'0','0',0,1,16),</v>
      </c>
    </row>
    <row r="17" spans="1:17">
      <c r="A17" t="s">
        <v>93</v>
      </c>
      <c r="B17">
        <v>414</v>
      </c>
      <c r="C17" t="s">
        <v>79</v>
      </c>
      <c r="D17" s="1">
        <v>30</v>
      </c>
      <c r="E17" t="s">
        <v>28</v>
      </c>
      <c r="F17" s="1">
        <v>2</v>
      </c>
      <c r="G17" t="s">
        <v>19</v>
      </c>
      <c r="H17" t="s">
        <v>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17</v>
      </c>
      <c r="Q17" t="str">
        <f t="shared" si="0"/>
        <v xml:space="preserve"> ('Null','414','Prepaid','30','7esabi MasterCard',0,0,0,'0','0',0,1,17),</v>
      </c>
    </row>
    <row r="18" spans="1:17">
      <c r="A18" t="s">
        <v>93</v>
      </c>
      <c r="B18">
        <v>414</v>
      </c>
      <c r="C18" t="s">
        <v>79</v>
      </c>
      <c r="D18" s="1">
        <v>28</v>
      </c>
      <c r="E18" t="s">
        <v>29</v>
      </c>
      <c r="F18" s="1">
        <v>3</v>
      </c>
      <c r="G18" t="s">
        <v>19</v>
      </c>
      <c r="H18" t="s">
        <v>19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18</v>
      </c>
      <c r="Q18" t="str">
        <f t="shared" si="0"/>
        <v xml:space="preserve"> ('Null','414','Prepaid','28','Co-Brand Pre-Paid Card -   KAC',0,0,1,'0','0',0,1,18),</v>
      </c>
    </row>
    <row r="19" spans="1:17">
      <c r="A19" t="s">
        <v>93</v>
      </c>
      <c r="B19">
        <v>414</v>
      </c>
      <c r="C19" t="s">
        <v>80</v>
      </c>
      <c r="D19" s="1">
        <v>2</v>
      </c>
      <c r="E19" t="s">
        <v>30</v>
      </c>
      <c r="F19" s="1">
        <v>7</v>
      </c>
      <c r="G19" t="s">
        <v>31</v>
      </c>
      <c r="H19" t="s">
        <v>32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19</v>
      </c>
      <c r="Q19" t="str">
        <f t="shared" si="0"/>
        <v xml:space="preserve"> ('Null','414','Tayseer','2','TAYSEER T3 GOLD',0,0,0,'0','0',0,1,19),</v>
      </c>
    </row>
    <row r="20" spans="1:17">
      <c r="A20" t="s">
        <v>93</v>
      </c>
      <c r="B20">
        <v>414</v>
      </c>
      <c r="C20" t="s">
        <v>81</v>
      </c>
      <c r="D20" s="1">
        <v>3</v>
      </c>
      <c r="E20" t="s">
        <v>33</v>
      </c>
      <c r="F20" s="1">
        <v>1</v>
      </c>
      <c r="G20" t="s">
        <v>34</v>
      </c>
      <c r="H20" t="s">
        <v>35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20</v>
      </c>
      <c r="Q20" t="str">
        <f t="shared" si="0"/>
        <v xml:space="preserve"> ('Null','414','Charge','3','Visa Classic',1,0,0,'0','0',0,1,20),</v>
      </c>
    </row>
    <row r="21" spans="1:17">
      <c r="A21" t="s">
        <v>93</v>
      </c>
      <c r="B21">
        <v>414</v>
      </c>
      <c r="C21" t="s">
        <v>80</v>
      </c>
      <c r="D21" s="1">
        <v>4</v>
      </c>
      <c r="E21" t="s">
        <v>36</v>
      </c>
      <c r="F21" s="1">
        <v>7</v>
      </c>
      <c r="G21" t="s">
        <v>37</v>
      </c>
      <c r="H21" t="s">
        <v>38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21</v>
      </c>
      <c r="Q21" t="str">
        <f t="shared" si="0"/>
        <v xml:space="preserve"> ('Null','414','Tayseer','4','TAYSEER T3 CLASSIC',0,0,0,'0','0',0,1,21),</v>
      </c>
    </row>
    <row r="22" spans="1:17">
      <c r="A22" t="s">
        <v>93</v>
      </c>
      <c r="B22">
        <v>414</v>
      </c>
      <c r="C22" t="s">
        <v>81</v>
      </c>
      <c r="D22" s="1">
        <v>5</v>
      </c>
      <c r="E22" t="s">
        <v>39</v>
      </c>
      <c r="F22" s="1">
        <v>1</v>
      </c>
      <c r="G22" t="s">
        <v>15</v>
      </c>
      <c r="H22" t="s">
        <v>11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22</v>
      </c>
      <c r="Q22" t="str">
        <f t="shared" si="0"/>
        <v xml:space="preserve"> ('Null','414','Charge','5','Visa Platinum',1,0,0,'0','0',0,1,22),</v>
      </c>
    </row>
    <row r="23" spans="1:17">
      <c r="A23" t="s">
        <v>93</v>
      </c>
      <c r="B23">
        <v>414</v>
      </c>
      <c r="C23" t="s">
        <v>81</v>
      </c>
      <c r="D23" s="1">
        <v>6</v>
      </c>
      <c r="E23" t="s">
        <v>40</v>
      </c>
      <c r="F23" s="1">
        <v>1</v>
      </c>
      <c r="G23" t="s">
        <v>41</v>
      </c>
      <c r="H23" t="s">
        <v>42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23</v>
      </c>
      <c r="Q23" t="str">
        <f t="shared" si="0"/>
        <v xml:space="preserve"> ('Null','414','Charge','6','Visa Internet',1,0,0,'0','0',0,1,23),</v>
      </c>
    </row>
    <row r="24" spans="1:17">
      <c r="A24" t="s">
        <v>93</v>
      </c>
      <c r="B24">
        <v>414</v>
      </c>
      <c r="C24" t="s">
        <v>81</v>
      </c>
      <c r="D24" s="1">
        <v>1</v>
      </c>
      <c r="E24" t="s">
        <v>43</v>
      </c>
      <c r="F24" s="1">
        <v>1</v>
      </c>
      <c r="G24" t="s">
        <v>8</v>
      </c>
      <c r="H24" t="s">
        <v>44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24</v>
      </c>
      <c r="Q24" t="str">
        <f t="shared" si="0"/>
        <v xml:space="preserve"> ('Null','414','Charge','1','Visa Gold',1,0,0,'0','0',0,1,24),</v>
      </c>
    </row>
    <row r="25" spans="1:17">
      <c r="A25" t="s">
        <v>93</v>
      </c>
      <c r="B25">
        <v>414</v>
      </c>
      <c r="C25" t="s">
        <v>81</v>
      </c>
      <c r="D25" s="1">
        <v>7</v>
      </c>
      <c r="E25" t="s">
        <v>45</v>
      </c>
      <c r="F25" s="1">
        <v>1</v>
      </c>
      <c r="G25" t="s">
        <v>8</v>
      </c>
      <c r="H25" t="s">
        <v>44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25</v>
      </c>
      <c r="Q25" t="str">
        <f t="shared" si="0"/>
        <v xml:space="preserve"> ('Null','414','Charge','7','MasterCard Gold',1,0,0,'0','0',0,1,25),</v>
      </c>
    </row>
    <row r="26" spans="1:17">
      <c r="A26" t="s">
        <v>93</v>
      </c>
      <c r="B26">
        <v>414</v>
      </c>
      <c r="C26" t="s">
        <v>81</v>
      </c>
      <c r="D26" s="1">
        <v>8</v>
      </c>
      <c r="E26" t="s">
        <v>46</v>
      </c>
      <c r="F26" s="1">
        <v>1</v>
      </c>
      <c r="G26" t="s">
        <v>34</v>
      </c>
      <c r="H26" t="s">
        <v>35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26</v>
      </c>
      <c r="Q26" t="str">
        <f t="shared" si="0"/>
        <v xml:space="preserve"> ('Null','414','Charge','8','MasterCard Classic',1,0,0,'0','0',0,1,26),</v>
      </c>
    </row>
    <row r="27" spans="1:17">
      <c r="A27" t="s">
        <v>93</v>
      </c>
      <c r="B27">
        <v>414</v>
      </c>
      <c r="C27" t="s">
        <v>81</v>
      </c>
      <c r="D27" s="1">
        <v>9</v>
      </c>
      <c r="E27" t="s">
        <v>47</v>
      </c>
      <c r="F27" s="1">
        <v>1</v>
      </c>
      <c r="G27" t="s">
        <v>15</v>
      </c>
      <c r="H27" t="s">
        <v>11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27</v>
      </c>
      <c r="Q27" t="str">
        <f t="shared" si="0"/>
        <v xml:space="preserve"> ('Null','414','Charge','9','MasterCard Platinum',1,0,0,'0','0',0,1,27),</v>
      </c>
    </row>
    <row r="28" spans="1:17">
      <c r="A28" t="s">
        <v>93</v>
      </c>
      <c r="B28">
        <v>414</v>
      </c>
      <c r="C28" t="s">
        <v>80</v>
      </c>
      <c r="D28" s="1">
        <v>10</v>
      </c>
      <c r="E28" t="s">
        <v>48</v>
      </c>
      <c r="F28" s="1">
        <v>7</v>
      </c>
      <c r="G28" t="s">
        <v>49</v>
      </c>
      <c r="H28" t="s">
        <v>32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28</v>
      </c>
      <c r="Q28" t="str">
        <f t="shared" si="0"/>
        <v xml:space="preserve"> ('Null','414','Tayseer','10','TAYSEER T12 PLATINUM STANDARD',0,0,0,'0','0',0,1,28),</v>
      </c>
    </row>
    <row r="29" spans="1:17">
      <c r="A29" t="s">
        <v>93</v>
      </c>
      <c r="B29">
        <v>414</v>
      </c>
      <c r="C29" t="s">
        <v>80</v>
      </c>
      <c r="D29" s="1">
        <v>11</v>
      </c>
      <c r="E29" t="s">
        <v>50</v>
      </c>
      <c r="F29" s="1">
        <v>7</v>
      </c>
      <c r="G29" t="s">
        <v>51</v>
      </c>
      <c r="H29" t="s">
        <v>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29</v>
      </c>
      <c r="Q29" t="str">
        <f t="shared" si="0"/>
        <v xml:space="preserve"> ('Null','414','Tayseer','11','TAYSEER T12 PLATINUM PREMIUM',0,0,0,'0','0',0,1,29),</v>
      </c>
    </row>
    <row r="30" spans="1:17">
      <c r="A30" t="s">
        <v>93</v>
      </c>
      <c r="B30">
        <v>414</v>
      </c>
      <c r="C30" t="s">
        <v>80</v>
      </c>
      <c r="D30" s="1">
        <v>12</v>
      </c>
      <c r="E30" t="s">
        <v>53</v>
      </c>
      <c r="F30" s="1">
        <v>7</v>
      </c>
      <c r="G30" t="s">
        <v>42</v>
      </c>
      <c r="H30" t="s">
        <v>54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30</v>
      </c>
      <c r="Q30" t="str">
        <f t="shared" si="0"/>
        <v xml:space="preserve"> ('Null','414','Tayseer','12','TAYSEER T12 CLASSIC',0,0,0,'0','0',0,1,30),</v>
      </c>
    </row>
    <row r="31" spans="1:17">
      <c r="A31" t="s">
        <v>93</v>
      </c>
      <c r="B31">
        <v>414</v>
      </c>
      <c r="C31" t="s">
        <v>80</v>
      </c>
      <c r="D31" s="1">
        <v>13</v>
      </c>
      <c r="E31" t="s">
        <v>55</v>
      </c>
      <c r="F31" s="1">
        <v>7</v>
      </c>
      <c r="G31" t="s">
        <v>56</v>
      </c>
      <c r="H31" t="s">
        <v>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31</v>
      </c>
      <c r="Q31" t="str">
        <f t="shared" si="0"/>
        <v xml:space="preserve"> ('Null','414','Tayseer','13','TAYSEER T12 GOLD',0,0,0,'0','0',0,1,31),</v>
      </c>
    </row>
    <row r="32" spans="1:17">
      <c r="A32" t="s">
        <v>93</v>
      </c>
      <c r="B32">
        <v>414</v>
      </c>
      <c r="C32" t="s">
        <v>80</v>
      </c>
      <c r="D32" s="1">
        <v>14</v>
      </c>
      <c r="E32" t="s">
        <v>58</v>
      </c>
      <c r="F32" s="1">
        <v>7</v>
      </c>
      <c r="G32" t="s">
        <v>34</v>
      </c>
      <c r="H32" t="s">
        <v>32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32</v>
      </c>
      <c r="Q32" t="str">
        <f t="shared" si="0"/>
        <v xml:space="preserve"> ('Null','414','Tayseer','14','TAYSEER T12 PLATINUM STANDARD (Temp)',0,0,0,'0','0',0,1,32),</v>
      </c>
    </row>
    <row r="33" spans="1:17">
      <c r="A33" t="s">
        <v>93</v>
      </c>
      <c r="B33">
        <v>414</v>
      </c>
      <c r="C33" t="s">
        <v>80</v>
      </c>
      <c r="D33" s="1">
        <v>15</v>
      </c>
      <c r="E33" t="s">
        <v>59</v>
      </c>
      <c r="F33" s="1">
        <v>7</v>
      </c>
      <c r="G33" t="s">
        <v>38</v>
      </c>
      <c r="H33" t="s">
        <v>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33</v>
      </c>
      <c r="Q33" t="str">
        <f t="shared" si="0"/>
        <v xml:space="preserve"> ('Null','414','Tayseer','15','TAYSEER T12 PLATINUM PREMIUM (Temp)',0,0,0,'0','0',0,1,33),</v>
      </c>
    </row>
    <row r="34" spans="1:17">
      <c r="A34" t="s">
        <v>93</v>
      </c>
      <c r="B34">
        <v>414</v>
      </c>
      <c r="C34" t="s">
        <v>79</v>
      </c>
      <c r="D34" s="1">
        <v>18</v>
      </c>
      <c r="E34" t="s">
        <v>60</v>
      </c>
      <c r="F34" s="1">
        <v>1</v>
      </c>
      <c r="G34" t="s">
        <v>19</v>
      </c>
      <c r="H34" t="s">
        <v>19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34</v>
      </c>
      <c r="Q34" t="str">
        <f t="shared" si="0"/>
        <v xml:space="preserve"> ('Null','414','Prepaid','18','7esabi',0,0,0,'0','0',0,1,34),</v>
      </c>
    </row>
    <row r="35" spans="1:17">
      <c r="A35" t="s">
        <v>93</v>
      </c>
      <c r="B35">
        <v>414</v>
      </c>
      <c r="C35" t="s">
        <v>81</v>
      </c>
      <c r="D35" s="1">
        <v>17</v>
      </c>
      <c r="E35" t="s">
        <v>61</v>
      </c>
      <c r="F35" s="1">
        <v>1</v>
      </c>
      <c r="G35" t="s">
        <v>15</v>
      </c>
      <c r="H35" t="s">
        <v>12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35</v>
      </c>
      <c r="Q35" t="str">
        <f t="shared" si="0"/>
        <v xml:space="preserve"> ('Null','414','Charge','17','MasterCard Gold(3000-30000)',1,0,0,'0','0',0,1,35),</v>
      </c>
    </row>
    <row r="36" spans="1:17">
      <c r="A36" t="s">
        <v>93</v>
      </c>
      <c r="B36">
        <v>414</v>
      </c>
      <c r="C36" t="s">
        <v>79</v>
      </c>
      <c r="D36" s="1">
        <v>23</v>
      </c>
      <c r="E36" t="s">
        <v>62</v>
      </c>
      <c r="F36" s="1">
        <v>1</v>
      </c>
      <c r="G36" t="s">
        <v>19</v>
      </c>
      <c r="H36" t="s">
        <v>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36</v>
      </c>
      <c r="Q36" t="str">
        <f t="shared" si="0"/>
        <v xml:space="preserve"> ('Null','414','Prepaid','23','Al-Khair',0,0,0,'0','0',0,1,36),</v>
      </c>
    </row>
    <row r="37" spans="1:17">
      <c r="A37" t="s">
        <v>93</v>
      </c>
      <c r="B37">
        <v>414</v>
      </c>
      <c r="C37" t="s">
        <v>81</v>
      </c>
      <c r="D37" s="1">
        <v>19</v>
      </c>
      <c r="E37" t="s">
        <v>63</v>
      </c>
      <c r="F37" s="1">
        <v>1</v>
      </c>
      <c r="G37" t="s">
        <v>64</v>
      </c>
      <c r="H37" t="s">
        <v>9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37</v>
      </c>
      <c r="Q37" t="str">
        <f t="shared" si="0"/>
        <v xml:space="preserve"> ('Null','414','Charge','19','Visa Charge Diamond',1,0,0,'0','0',0,1,37),</v>
      </c>
    </row>
    <row r="38" spans="1:17">
      <c r="A38" t="s">
        <v>93</v>
      </c>
      <c r="B38">
        <v>414</v>
      </c>
      <c r="C38" t="s">
        <v>79</v>
      </c>
      <c r="D38" s="1">
        <v>24</v>
      </c>
      <c r="E38" t="s">
        <v>65</v>
      </c>
      <c r="F38" s="1">
        <v>2</v>
      </c>
      <c r="G38" t="s">
        <v>19</v>
      </c>
      <c r="H38" t="s">
        <v>19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38</v>
      </c>
      <c r="Q38" t="str">
        <f t="shared" si="0"/>
        <v xml:space="preserve"> ('Null','414','Prepaid','24','Al-Ousra Primary',0,0,0,'0','0',0,1,38),</v>
      </c>
    </row>
    <row r="39" spans="1:17">
      <c r="A39" t="s">
        <v>93</v>
      </c>
      <c r="B39">
        <v>414</v>
      </c>
      <c r="C39" t="s">
        <v>79</v>
      </c>
      <c r="D39" s="1">
        <v>25</v>
      </c>
      <c r="E39" t="s">
        <v>66</v>
      </c>
      <c r="F39" s="1">
        <v>2</v>
      </c>
      <c r="G39" t="s">
        <v>19</v>
      </c>
      <c r="H39" t="s">
        <v>19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39</v>
      </c>
      <c r="Q39" t="str">
        <f t="shared" si="0"/>
        <v xml:space="preserve"> ('Null','414','Prepaid','25','Al-Ousra Supplementary',0,0,0,'0','0',0,1,39),</v>
      </c>
    </row>
    <row r="40" spans="1:17">
      <c r="A40" t="s">
        <v>93</v>
      </c>
      <c r="B40">
        <v>414</v>
      </c>
      <c r="C40" t="s">
        <v>80</v>
      </c>
      <c r="D40" s="1">
        <v>20</v>
      </c>
      <c r="E40" t="s">
        <v>67</v>
      </c>
      <c r="F40" s="1">
        <v>7</v>
      </c>
      <c r="G40" t="s">
        <v>15</v>
      </c>
      <c r="H40" t="s">
        <v>64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40</v>
      </c>
      <c r="Q40" t="str">
        <f t="shared" si="0"/>
        <v xml:space="preserve"> ('Null','414','Tayseer','20','VISA TAYSEER DIAMOND',0,0,0,'0','0',0,1,40),</v>
      </c>
    </row>
    <row r="41" spans="1:17">
      <c r="A41" t="s">
        <v>93</v>
      </c>
      <c r="B41">
        <v>840</v>
      </c>
      <c r="C41" t="s">
        <v>81</v>
      </c>
      <c r="D41" s="1">
        <v>26</v>
      </c>
      <c r="E41" t="s">
        <v>68</v>
      </c>
      <c r="F41" s="1">
        <v>1</v>
      </c>
      <c r="G41" t="s">
        <v>64</v>
      </c>
      <c r="H41" t="s">
        <v>9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41</v>
      </c>
      <c r="Q41" t="str">
        <f t="shared" si="0"/>
        <v xml:space="preserve"> ('Null','840','Charge','26','USD Master Card Platinum',1,0,0,'0','0',0,1,41),</v>
      </c>
    </row>
    <row r="42" spans="1:17">
      <c r="A42" t="s">
        <v>93</v>
      </c>
      <c r="B42">
        <v>414</v>
      </c>
      <c r="C42" t="s">
        <v>81</v>
      </c>
      <c r="D42" s="1">
        <v>31</v>
      </c>
      <c r="E42" t="s">
        <v>69</v>
      </c>
      <c r="F42" s="1">
        <v>1</v>
      </c>
      <c r="G42" t="s">
        <v>34</v>
      </c>
      <c r="H42" t="s">
        <v>35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42</v>
      </c>
      <c r="Q42" t="str">
        <f t="shared" si="0"/>
        <v xml:space="preserve"> ('Null','414','Charge','31','VISA CLASSIC - DDA (TEMP)',1,0,0,'0','0',0,1,42),</v>
      </c>
    </row>
    <row r="43" spans="1:17">
      <c r="A43" t="s">
        <v>93</v>
      </c>
      <c r="B43">
        <v>414</v>
      </c>
      <c r="C43" t="s">
        <v>81</v>
      </c>
      <c r="D43" s="1">
        <v>32</v>
      </c>
      <c r="E43" t="s">
        <v>70</v>
      </c>
      <c r="F43" s="1">
        <v>1</v>
      </c>
      <c r="G43" t="s">
        <v>34</v>
      </c>
      <c r="H43" t="s">
        <v>35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43</v>
      </c>
      <c r="Q43" t="str">
        <f t="shared" si="0"/>
        <v xml:space="preserve"> ('Null','414','Charge','32','MASTER CLASSIC - DDA (TEMP)',1,0,0,'0','0',0,1,43),</v>
      </c>
    </row>
    <row r="44" spans="1:17">
      <c r="A44" t="s">
        <v>93</v>
      </c>
      <c r="B44">
        <v>414</v>
      </c>
      <c r="C44" t="s">
        <v>81</v>
      </c>
      <c r="D44" s="1">
        <v>35</v>
      </c>
      <c r="E44" t="s">
        <v>71</v>
      </c>
      <c r="F44" s="1">
        <v>1</v>
      </c>
      <c r="G44" t="s">
        <v>5</v>
      </c>
      <c r="H44" t="s">
        <v>9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44</v>
      </c>
      <c r="Q44" t="str">
        <f t="shared" si="0"/>
        <v xml:space="preserve"> ('Null','414','Charge','35','VISA SIGNATURE',1,0,0,'0','0',0,1,44),</v>
      </c>
    </row>
    <row r="45" spans="1:17">
      <c r="A45" t="s">
        <v>93</v>
      </c>
      <c r="B45">
        <v>414</v>
      </c>
      <c r="C45" t="s">
        <v>79</v>
      </c>
      <c r="D45" s="1">
        <v>34</v>
      </c>
      <c r="E45" t="s">
        <v>72</v>
      </c>
      <c r="F45" s="1">
        <v>1</v>
      </c>
      <c r="G45" t="s">
        <v>19</v>
      </c>
      <c r="H45" t="s">
        <v>19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45</v>
      </c>
      <c r="Q45" t="str">
        <f t="shared" si="0"/>
        <v xml:space="preserve"> ('Null','414','Prepaid','34','Sama World Prepaid Card',0,0,0,'0','0',0,1,45),</v>
      </c>
    </row>
    <row r="46" spans="1:17">
      <c r="A46" t="s">
        <v>93</v>
      </c>
      <c r="B46">
        <v>414</v>
      </c>
      <c r="C46" t="s">
        <v>81</v>
      </c>
      <c r="D46" s="1">
        <v>33</v>
      </c>
      <c r="E46" t="s">
        <v>73</v>
      </c>
      <c r="F46" s="1">
        <v>1</v>
      </c>
      <c r="G46" t="s">
        <v>11</v>
      </c>
      <c r="H46" t="s">
        <v>12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46</v>
      </c>
      <c r="Q46" t="str">
        <f t="shared" si="0"/>
        <v xml:space="preserve"> ('Null','414','Charge','33','World Elite MasterCard Card',1,0,0,'0','0',0,1,46),</v>
      </c>
    </row>
    <row r="47" spans="1:17">
      <c r="A47" t="s">
        <v>93</v>
      </c>
      <c r="B47">
        <v>414</v>
      </c>
      <c r="C47" t="s">
        <v>81</v>
      </c>
      <c r="D47" s="1">
        <v>37</v>
      </c>
      <c r="E47" t="s">
        <v>74</v>
      </c>
      <c r="F47" s="1">
        <v>1</v>
      </c>
      <c r="G47" t="s">
        <v>75</v>
      </c>
      <c r="H47" t="s">
        <v>35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47</v>
      </c>
      <c r="Q47" t="str">
        <f t="shared" si="0"/>
        <v xml:space="preserve"> ('Null','414','Charge','37','Visa Platinum Select',1,0,0,'0','0',0,1,47),</v>
      </c>
    </row>
    <row r="48" spans="1:17">
      <c r="A48" t="s">
        <v>93</v>
      </c>
      <c r="B48">
        <v>414</v>
      </c>
      <c r="C48" t="s">
        <v>81</v>
      </c>
      <c r="D48" s="1">
        <v>38</v>
      </c>
      <c r="E48" t="s">
        <v>76</v>
      </c>
      <c r="F48" s="1">
        <v>1</v>
      </c>
      <c r="G48" t="s">
        <v>17</v>
      </c>
      <c r="H48" t="s">
        <v>12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48</v>
      </c>
      <c r="Q48" t="str">
        <f t="shared" si="0"/>
        <v xml:space="preserve"> ('Null','414','Charge','38','Metal QR Mosaic',1,0,0,'0','0',0,1,48),</v>
      </c>
    </row>
  </sheetData>
  <pageMargins left="0.7" right="0.7" top="0.75" bottom="0.75" header="0.3" footer="0.3"/>
  <headerFooter>
    <oddFooter>&amp;C_x000D_&amp;1#&amp;"Calibri"&amp;10&amp;KA80000 This is an Internal Document and should not be shared with unauthorized users.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77</v>
      </c>
    </row>
  </sheetData>
  <pageMargins left="0.7" right="0.7" top="0.75" bottom="0.75" header="0.3" footer="0.3"/>
  <headerFooter>
    <oddFooter>&amp;C_x000D_&amp;1#&amp;"Calibri"&amp;10&amp;KA80000 This is an Internal Document and should not be shared with unauthorized users.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EligiblityCards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Jaffarali Mohamedkasim</cp:lastModifiedBy>
  <dcterms:created xsi:type="dcterms:W3CDTF">2023-02-06T10:38:45Z</dcterms:created>
  <dcterms:modified xsi:type="dcterms:W3CDTF">2023-02-06T11:36:51Z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b434c4-b448-4939-88b5-036041270041_Enabled">
    <vt:lpwstr>true</vt:lpwstr>
  </property>
  <property fmtid="{D5CDD505-2E9C-101B-9397-08002B2CF9AE}" pid="3" name="MSIP_Label_85b434c4-b448-4939-88b5-036041270041_SetDate">
    <vt:lpwstr>2023-02-06T10:39:13Z</vt:lpwstr>
  </property>
  <property fmtid="{D5CDD505-2E9C-101B-9397-08002B2CF9AE}" pid="4" name="MSIP_Label_85b434c4-b448-4939-88b5-036041270041_Method">
    <vt:lpwstr>Privileged</vt:lpwstr>
  </property>
  <property fmtid="{D5CDD505-2E9C-101B-9397-08002B2CF9AE}" pid="5" name="MSIP_Label_85b434c4-b448-4939-88b5-036041270041_Name">
    <vt:lpwstr>85b434c4-b448-4939-88b5-036041270041</vt:lpwstr>
  </property>
  <property fmtid="{D5CDD505-2E9C-101B-9397-08002B2CF9AE}" pid="6" name="MSIP_Label_85b434c4-b448-4939-88b5-036041270041_SiteId">
    <vt:lpwstr>0d860093-8f20-4eb7-882a-0c70de019872</vt:lpwstr>
  </property>
  <property fmtid="{D5CDD505-2E9C-101B-9397-08002B2CF9AE}" pid="7" name="MSIP_Label_85b434c4-b448-4939-88b5-036041270041_ActionId">
    <vt:lpwstr>8a036005-939f-4019-8730-79973500fdaa</vt:lpwstr>
  </property>
  <property fmtid="{D5CDD505-2E9C-101B-9397-08002B2CF9AE}" pid="8" name="MSIP_Label_85b434c4-b448-4939-88b5-036041270041_ContentBits">
    <vt:lpwstr>2</vt:lpwstr>
  </property>
</Properties>
</file>